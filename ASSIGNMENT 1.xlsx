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idha\Downloads\"/>
    </mc:Choice>
  </mc:AlternateContent>
  <xr:revisionPtr revIDLastSave="0" documentId="8_{3105F2C0-B049-4715-AD10-D80952C8845F}" xr6:coauthVersionLast="47" xr6:coauthVersionMax="47" xr10:uidLastSave="{00000000-0000-0000-0000-000000000000}"/>
  <bookViews>
    <workbookView xWindow="-108" yWindow="-108" windowWidth="23256" windowHeight="12696" xr2:uid="{00000000-000D-0000-FFFF-FFFF00000000}"/>
  </bookViews>
  <sheets>
    <sheet name="Employee Data" sheetId="1" r:id="rId1"/>
  </sheets>
  <definedNames>
    <definedName name="_xlnm._FilterDatabase" localSheetId="0" hidden="1">'Employee Data'!$A$1:$G$16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J13" i="1"/>
  <c r="J12" i="1"/>
  <c r="I10" i="1"/>
  <c r="I9" i="1"/>
  <c r="D2" i="1" a="1"/>
  <c r="D2" i="1" s="1"/>
  <c r="J7" i="1"/>
  <c r="J6" i="1"/>
  <c r="J3" i="1"/>
  <c r="J4" i="1"/>
  <c r="J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<sst xmlns="http://schemas.openxmlformats.org/spreadsheetml/2006/main" count="62" uniqueCount="50">
  <si>
    <t>EmployeeID</t>
  </si>
  <si>
    <t>EmployeeName</t>
  </si>
  <si>
    <t>Department</t>
  </si>
  <si>
    <t>Sales</t>
  </si>
  <si>
    <t>Orders</t>
  </si>
  <si>
    <t>Rating</t>
  </si>
  <si>
    <t>EMP001</t>
  </si>
  <si>
    <t>john smith</t>
  </si>
  <si>
    <t>Electronics</t>
  </si>
  <si>
    <t>EMP002</t>
  </si>
  <si>
    <t>PRIYA NAIR</t>
  </si>
  <si>
    <t>EMP003</t>
  </si>
  <si>
    <t>rahul KUMAR</t>
  </si>
  <si>
    <t>Furniture</t>
  </si>
  <si>
    <t>EMP004</t>
  </si>
  <si>
    <t>ANJALI MENON</t>
  </si>
  <si>
    <t>Clothing</t>
  </si>
  <si>
    <t>EMP005</t>
  </si>
  <si>
    <t>arun joseph</t>
  </si>
  <si>
    <t>EMP006</t>
  </si>
  <si>
    <t>Sneha Thomas</t>
  </si>
  <si>
    <t>EMP007</t>
  </si>
  <si>
    <t>MUHAMMAD ALI</t>
  </si>
  <si>
    <t>EMP008</t>
  </si>
  <si>
    <t>neha sharma</t>
  </si>
  <si>
    <t>EMP009</t>
  </si>
  <si>
    <t>RAVI DAS</t>
  </si>
  <si>
    <t>EMP010</t>
  </si>
  <si>
    <t>Meera Krishnan</t>
  </si>
  <si>
    <t>EMP011</t>
  </si>
  <si>
    <t>AMAL RAJ</t>
  </si>
  <si>
    <t>EMP012</t>
  </si>
  <si>
    <t>divya menon</t>
  </si>
  <si>
    <t>EMP013</t>
  </si>
  <si>
    <t>SURESH NAIR</t>
  </si>
  <si>
    <t>EMP014</t>
  </si>
  <si>
    <t>Fathima Ali</t>
  </si>
  <si>
    <t>EMP015</t>
  </si>
  <si>
    <t>vishnu krish</t>
  </si>
  <si>
    <t>total price of the products</t>
  </si>
  <si>
    <t>total number of products</t>
  </si>
  <si>
    <t>average price of products</t>
  </si>
  <si>
    <t>min price of all product</t>
  </si>
  <si>
    <t>max price of all product</t>
  </si>
  <si>
    <t>Range</t>
  </si>
  <si>
    <t>SUMIF</t>
  </si>
  <si>
    <t>COUNTIF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</si>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</sst>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164" fontId="0" fillId="0" borderId="0" xfId="0" applyNumberFormat="1"/>
    <xf numFmtId="0" fontId="0" fillId="2" borderId="0" xfId="0" applyFill="1"/>
    <xf numFmtId="3" fontId="0" fillId="2" borderId="0" xfId="0" applyNumberFormat="1" applyFill="1"/>
    <xf numFmtId="0" fontId="0" fillId="3" borderId="0" xfId="0" applyFill="1"/>
    <xf numFmtId="3" fontId="0" fillId="3" borderId="0" xfId="0" applyNumberFormat="1" applyFill="1"/>
    <xf numFmtId="0" fontId="0" fillId="4" borderId="0" xfId="0" applyFill="1"/>
    <xf numFmtId="0" fontId="0" fillId="5" borderId="0" xfId="0" applyFill="1"/>
    <xf numFmtId="0" fontId="1" fillId="6" borderId="1" xfId="0" applyFont="1" applyFill="1" applyBorder="1" applyAlignment="1">
      <alignment horizontal="center" vertical="top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zoomScale="101" workbookViewId="0">
      <pane ySplit="1" topLeftCell="A2" activePane="bottomLeft" state="frozen"/>
      <selection pane="bottomLeft" activeCell="L20" sqref="L20"/>
    </sheetView>
  </sheetViews>
  <sheetFormatPr defaultRowHeight="14.4" x14ac:dyDescent="0.3"/>
  <cols>
    <col min="1" max="1" width="14" customWidth="1"/>
    <col min="2" max="2" width="22" customWidth="1"/>
    <col min="3" max="4" width="16" customWidth="1"/>
    <col min="5" max="5" width="14" customWidth="1"/>
    <col min="6" max="7" width="12" customWidth="1"/>
    <col min="8" max="8" width="6.6640625" customWidth="1"/>
    <col min="9" max="9" width="27.109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0" t="s">
        <v>44</v>
      </c>
      <c r="E1" s="1" t="s">
        <v>3</v>
      </c>
      <c r="F1" s="1" t="s">
        <v>4</v>
      </c>
      <c r="G1" s="1" t="s">
        <v>5</v>
      </c>
    </row>
    <row r="2" spans="1:10" x14ac:dyDescent="0.3">
      <c r="A2" t="s">
        <v>6</v>
      </c>
      <c r="B2" t="s">
        <v>7</v>
      </c>
      <c r="C2" t="s">
        <v>8</v>
      </c>
      <c r="D2" s="11" t="str" cm="1">
        <f t="array" ref="D2:D16">IF(E2:E16&gt;=50000,"High Price","Standard Price")</f>
        <v>High Price</v>
      </c>
      <c r="E2" s="2">
        <v>55000</v>
      </c>
      <c r="F2">
        <v>42</v>
      </c>
      <c r="G2" s="3">
        <v>4.5</v>
      </c>
      <c r="I2" s="4" t="s">
        <v>39</v>
      </c>
      <c r="J2" s="5">
        <f>SUM(E2:E16)</f>
        <v>794000</v>
      </c>
    </row>
    <row r="3" spans="1:10" x14ac:dyDescent="0.3">
      <c r="A3" t="s">
        <v>9</v>
      </c>
      <c r="B3" t="s">
        <v>10</v>
      </c>
      <c r="C3" t="s">
        <v>8</v>
      </c>
      <c r="D3" s="11" t="str">
        <v>High Price</v>
      </c>
      <c r="E3" s="2">
        <v>72000</v>
      </c>
      <c r="F3">
        <v>55</v>
      </c>
      <c r="G3" s="3">
        <v>4.8</v>
      </c>
      <c r="I3" s="4" t="s">
        <v>40</v>
      </c>
      <c r="J3" s="4">
        <f>COUNT(F2:F16)</f>
        <v>15</v>
      </c>
    </row>
    <row r="4" spans="1:10" x14ac:dyDescent="0.3">
      <c r="A4" t="s">
        <v>11</v>
      </c>
      <c r="B4" t="s">
        <v>12</v>
      </c>
      <c r="C4" t="s">
        <v>13</v>
      </c>
      <c r="D4" s="11" t="str">
        <v>Standard Price</v>
      </c>
      <c r="E4" s="2">
        <v>38000</v>
      </c>
      <c r="F4">
        <v>31</v>
      </c>
      <c r="G4" s="3">
        <v>3.9</v>
      </c>
      <c r="I4" s="4" t="s">
        <v>41</v>
      </c>
      <c r="J4" s="5">
        <f>AVERAGE(E2:E16)</f>
        <v>52933.333333333336</v>
      </c>
    </row>
    <row r="5" spans="1:10" x14ac:dyDescent="0.3">
      <c r="A5" t="s">
        <v>14</v>
      </c>
      <c r="B5" t="s">
        <v>15</v>
      </c>
      <c r="C5" t="s">
        <v>16</v>
      </c>
      <c r="D5" s="11" t="str">
        <v>Standard Price</v>
      </c>
      <c r="E5" s="2">
        <v>45000</v>
      </c>
      <c r="F5">
        <v>38</v>
      </c>
      <c r="G5" s="3">
        <v>4.2</v>
      </c>
    </row>
    <row r="6" spans="1:10" x14ac:dyDescent="0.3">
      <c r="A6" t="s">
        <v>17</v>
      </c>
      <c r="B6" t="s">
        <v>18</v>
      </c>
      <c r="C6" t="s">
        <v>8</v>
      </c>
      <c r="D6" s="11" t="str">
        <v>High Price</v>
      </c>
      <c r="E6" s="2">
        <v>68000</v>
      </c>
      <c r="F6">
        <v>49</v>
      </c>
      <c r="G6" s="3">
        <v>4.5999999999999996</v>
      </c>
      <c r="I6" s="6" t="s">
        <v>42</v>
      </c>
      <c r="J6" s="7">
        <f>MIN(E2:E16)</f>
        <v>29000</v>
      </c>
    </row>
    <row r="7" spans="1:10" x14ac:dyDescent="0.3">
      <c r="A7" t="s">
        <v>19</v>
      </c>
      <c r="B7" t="s">
        <v>20</v>
      </c>
      <c r="C7" t="s">
        <v>13</v>
      </c>
      <c r="D7" s="11" t="str">
        <v>Standard Price</v>
      </c>
      <c r="E7" s="2">
        <v>29000</v>
      </c>
      <c r="F7">
        <v>25</v>
      </c>
      <c r="G7" s="3">
        <v>3.7</v>
      </c>
      <c r="I7" s="6" t="s">
        <v>43</v>
      </c>
      <c r="J7" s="7">
        <f>MAX(E2:E16)</f>
        <v>83000</v>
      </c>
    </row>
    <row r="8" spans="1:10" x14ac:dyDescent="0.3">
      <c r="A8" t="s">
        <v>21</v>
      </c>
      <c r="B8" t="s">
        <v>22</v>
      </c>
      <c r="C8" t="s">
        <v>16</v>
      </c>
      <c r="D8" s="11" t="str">
        <v>High Price</v>
      </c>
      <c r="E8" s="2">
        <v>51000</v>
      </c>
      <c r="F8">
        <v>44</v>
      </c>
      <c r="G8" s="3">
        <v>4.4000000000000004</v>
      </c>
    </row>
    <row r="9" spans="1:10" x14ac:dyDescent="0.3">
      <c r="A9" t="s">
        <v>23</v>
      </c>
      <c r="B9" t="s">
        <v>24</v>
      </c>
      <c r="C9" t="s">
        <v>8</v>
      </c>
      <c r="D9" s="11" t="str">
        <v>High Price</v>
      </c>
      <c r="E9" s="2">
        <v>83000</v>
      </c>
      <c r="F9">
        <v>61</v>
      </c>
      <c r="G9" s="3">
        <v>4.9000000000000004</v>
      </c>
      <c r="I9" s="8">
        <f>SUMIF(C:C,"Electronics",E:E)</f>
        <v>416000</v>
      </c>
      <c r="J9" s="8" t="s">
        <v>45</v>
      </c>
    </row>
    <row r="10" spans="1:10" x14ac:dyDescent="0.3">
      <c r="A10" t="s">
        <v>25</v>
      </c>
      <c r="B10" t="s">
        <v>26</v>
      </c>
      <c r="C10" t="s">
        <v>13</v>
      </c>
      <c r="D10" s="11" t="str">
        <v>Standard Price</v>
      </c>
      <c r="E10" s="2">
        <v>41000</v>
      </c>
      <c r="F10">
        <v>35</v>
      </c>
      <c r="G10" s="3">
        <v>4</v>
      </c>
      <c r="I10" s="8">
        <f>COUNTIF(E:E,"&lt;50000")</f>
        <v>7</v>
      </c>
      <c r="J10" s="8" t="s">
        <v>46</v>
      </c>
    </row>
    <row r="11" spans="1:10" x14ac:dyDescent="0.3">
      <c r="A11" t="s">
        <v>27</v>
      </c>
      <c r="B11" t="s">
        <v>28</v>
      </c>
      <c r="C11" t="s">
        <v>16</v>
      </c>
      <c r="D11" s="11" t="str">
        <v>Standard Price</v>
      </c>
      <c r="E11" s="2">
        <v>47000</v>
      </c>
      <c r="F11">
        <v>40</v>
      </c>
      <c r="G11" s="3">
        <v>4.3</v>
      </c>
    </row>
    <row r="12" spans="1:10" x14ac:dyDescent="0.3">
      <c r="A12" t="s">
        <v>29</v>
      </c>
      <c r="B12" t="s">
        <v>30</v>
      </c>
      <c r="C12" t="s">
        <v>8</v>
      </c>
      <c r="D12" s="11" t="str">
        <v>High Price</v>
      </c>
      <c r="E12" s="2">
        <v>62000</v>
      </c>
      <c r="F12">
        <v>47</v>
      </c>
      <c r="G12" s="3">
        <v>4.5</v>
      </c>
      <c r="I12" s="9" t="s">
        <v>47</v>
      </c>
      <c r="J12" s="9" t="str">
        <f>LEFT(A2,2)</f>
        <v>EM</v>
      </c>
    </row>
    <row r="13" spans="1:10" x14ac:dyDescent="0.3">
      <c r="A13" t="s">
        <v>31</v>
      </c>
      <c r="B13" t="s">
        <v>32</v>
      </c>
      <c r="C13" t="s">
        <v>13</v>
      </c>
      <c r="D13" s="11" t="str">
        <v>Standard Price</v>
      </c>
      <c r="E13" s="2">
        <v>33000</v>
      </c>
      <c r="F13">
        <v>28</v>
      </c>
      <c r="G13" s="3">
        <v>3.8</v>
      </c>
      <c r="I13" s="9" t="s">
        <v>48</v>
      </c>
      <c r="J13" s="9" t="str">
        <f>RIGHT(A2,2)</f>
        <v>01</v>
      </c>
    </row>
    <row r="14" spans="1:10" x14ac:dyDescent="0.3">
      <c r="A14" t="s">
        <v>33</v>
      </c>
      <c r="B14" t="s">
        <v>34</v>
      </c>
      <c r="C14" t="s">
        <v>16</v>
      </c>
      <c r="D14" s="11" t="str">
        <v>High Price</v>
      </c>
      <c r="E14" s="2">
        <v>58000</v>
      </c>
      <c r="F14">
        <v>46</v>
      </c>
      <c r="G14" s="3">
        <v>4.5999999999999996</v>
      </c>
      <c r="I14" s="9" t="s">
        <v>49</v>
      </c>
      <c r="J14" s="9" t="str">
        <f>MID(A2,4,3)</f>
        <v>001</v>
      </c>
    </row>
    <row r="15" spans="1:10" x14ac:dyDescent="0.3">
      <c r="A15" t="s">
        <v>35</v>
      </c>
      <c r="B15" t="s">
        <v>36</v>
      </c>
      <c r="C15" t="s">
        <v>8</v>
      </c>
      <c r="D15" s="11" t="str">
        <v>High Price</v>
      </c>
      <c r="E15" s="2">
        <v>76000</v>
      </c>
      <c r="F15">
        <v>57</v>
      </c>
      <c r="G15" s="3">
        <v>4.7</v>
      </c>
    </row>
    <row r="16" spans="1:10" x14ac:dyDescent="0.3">
      <c r="A16" t="s">
        <v>37</v>
      </c>
      <c r="B16" t="s">
        <v>38</v>
      </c>
      <c r="C16" t="s">
        <v>13</v>
      </c>
      <c r="D16" s="11" t="str">
        <v>Standard Price</v>
      </c>
      <c r="E16" s="2">
        <v>36000</v>
      </c>
      <c r="F16">
        <v>30</v>
      </c>
      <c r="G16" s="3">
        <v>3.9</v>
      </c>
    </row>
  </sheetData>
  <autoFilter ref="A1:G1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sidharthrajesh578@gmail.com</cp:lastModifiedBy>
  <dcterms:created xsi:type="dcterms:W3CDTF">2026-09-10T15:16:16Z</dcterms:created>
  <dcterms:modified xsi:type="dcterms:W3CDTF">2026-09-17T11:46:03Z</dcterms:modified>
</cp:coreProperties>
</file>