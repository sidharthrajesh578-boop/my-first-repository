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ha\Downloads\"/>
    </mc:Choice>
  </mc:AlternateContent>
  <xr:revisionPtr revIDLastSave="0" documentId="13_ncr:1_{397A72E1-CAF3-410A-8782-F62E2ABCF72F}" xr6:coauthVersionLast="47" xr6:coauthVersionMax="47" xr10:uidLastSave="{00000000-0000-0000-0000-000000000000}"/>
  <bookViews>
    <workbookView xWindow="-108" yWindow="-108" windowWidth="23256" windowHeight="12696" xr2:uid="{B33D6D68-ACA4-4C57-B8E4-F2E9DABB46DA}"/>
  </bookViews>
  <sheets>
    <sheet name="Sheet1" sheetId="1" r:id="rId1"/>
  </sheets>
  <definedNames>
    <definedName name="_xlnm._FilterDatabase" localSheetId="0" hidden="1">Sheet1!$D$1:$I$35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1" i="1"/>
  <c r="M4" i="1"/>
</calcChain>
</file>

<file path=xl/sharedStrings.xml><?xml version="1.0" encoding="utf-8"?>
<sst xmlns="http://schemas.openxmlformats.org/spreadsheetml/2006/main" count="191" uniqueCount="102">
  <si>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</si>
  <si>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</si>
  <si>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</si>
  <si>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</si>
  <si>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</si>
  <si>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</si>
  <si>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</si>
  <si>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</si>
  <si>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</si>
  <si>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</si>
  <si>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</si>
  <si>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</si>
  <si>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</si>
  <si>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</si>
  <si>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</si>
  <si>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</si>
  <si>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</si>
  <si>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</si>
  <si>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</si>
  <si>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</si>
  <si>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</si>
  <si>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</si>
  <si>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</si>
  <si>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</si>
  <si>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</si>
  <si>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</si>
  <si>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</si>
  <si>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</si>
  <si>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</si>
  <si>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</si>
  <si>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</si>
  <si>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</si>
  <si>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</si>
  <si>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</si>
  <si>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</si>
  <si>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</si>
  <si>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</si>
  <si>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</si>
  <si>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</si>
  <si>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</si>
  <si>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</si>
  <si>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</si>
  <si>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</si>
  <si>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</si>
  <si>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</si>
  <si>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</si>
  <si>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</si>
  <si>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</si>
  <si>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</si>
  <si>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</si>
  <si>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</si>
  <si>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</si>
  <si>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</si>
  <si>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</si>
  <si>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</si>
  <si>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</si>
  <si>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</si>
  <si>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</si>
  <si>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</si>
  <si>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</si>
  <si>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</si>
  <si>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</si>
  <si>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</si>
  <si>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</si>
  <si>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</si>
  <si>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</si>
  <si>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</si>
  <si>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</si>
  <si>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</si>
  <si>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</si>
  <si>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</si>
  <si>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</si>
  <si>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</si>
  <si>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</si>
  <si>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</si>
  <si>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</si>
  <si>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</si>
  <si>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</si>
  <si>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</si>
  <si>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</si>
  <si>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</si>
  <si>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</si>
  <si>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</si>
  <si>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</si>
  <si>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</si>
  <si>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</si>
  <si>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</si>
  <si>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</si>
  <si>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</si>
  <si>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</si>
  <si>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</si>
  <si>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</si>
  <si>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</si>
  <si>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</si>
  <si>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MEDIAN</t>
  </si>
  <si>
    <t>REPLACED BLANKS WITH MEDIAN</t>
  </si>
  <si>
    <t>Q1</t>
  </si>
  <si>
    <t>Q2</t>
  </si>
  <si>
    <t>Q3</t>
  </si>
  <si>
    <t>country code</t>
  </si>
  <si>
    <t>PRODUCT BRAND</t>
  </si>
  <si>
    <t>MF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</si>
</sst>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4DD0E1"/>
      </patternFill>
    </fill>
    <fill>
      <patternFill patternType="solid">
        <fgColor rgb="FF00B0F0"/>
        <bgColor rgb="FFE0F7FA"/>
      </patternFill>
    </fill>
    <fill>
      <patternFill patternType="solid">
        <fgColor rgb="FFFF0000"/>
        <bgColor rgb="FF4DD0E1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0F7F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2" fillId="6" borderId="0" xfId="0" applyFont="1" applyFill="1"/>
    <xf numFmtId="0" fontId="1" fillId="7" borderId="0" xfId="0" applyFont="1" applyFill="1" applyAlignment="1">
      <alignment horizontal="center"/>
    </xf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10" borderId="0" xfId="0" applyFill="1"/>
    <xf numFmtId="14" fontId="0" fillId="0" borderId="0" xfId="0" applyNumberFormat="1"/>
    <xf numFmtId="0" fontId="0" fillId="11" borderId="0" xfId="0" applyFont="1" applyFill="1"/>
    <xf numFmtId="0" fontId="0" fillId="11" borderId="0" xfId="0" applyFill="1"/>
    <xf numFmtId="0" fontId="2" fillId="11" borderId="0" xfId="0" applyFont="1" applyFill="1"/>
    <xf numFmtId="168" fontId="2" fillId="11" borderId="0" xfId="0" applyNumberFormat="1" applyFont="1" applyFill="1"/>
    <xf numFmtId="0" fontId="2" fillId="12" borderId="0" xfId="0" applyFont="1" applyFill="1"/>
    <xf numFmtId="168" fontId="2" fillId="12" borderId="0" xfId="0" applyNumberFormat="1" applyFont="1" applyFill="1"/>
  </cellXfs>
  <cellStyles count="1">
    <cellStyle name="Normal" xfId="0" builtinId="0"/>
  </cellStyles>
  <dxfs count="4">
    <dxf>
      <font>
        <color rgb="FF3333FF"/>
      </font>
    </dxf>
    <dxf>
      <font>
        <color rgb="FFFFFF00"/>
      </font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colors>
    <mruColors>
      <color rgb="FF3333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8F53-34C5-4FBA-9A0F-D63FC2CAE54F}">
  <dimension ref="A1:U39"/>
  <sheetViews>
    <sheetView tabSelected="1" workbookViewId="0">
      <selection activeCell="H5" sqref="H5"/>
    </sheetView>
  </sheetViews>
  <sheetFormatPr defaultRowHeight="14.4" x14ac:dyDescent="0.3"/>
  <cols>
    <col min="1" max="1" width="10.33203125" bestFit="1" customWidth="1"/>
    <col min="2" max="2" width="12" customWidth="1"/>
    <col min="3" max="3" width="14" customWidth="1"/>
    <col min="4" max="4" width="16" customWidth="1"/>
    <col min="5" max="5" width="13.6640625" customWidth="1"/>
    <col min="6" max="6" width="12.6640625" customWidth="1"/>
    <col min="7" max="7" width="13" customWidth="1"/>
    <col min="9" max="9" width="12.77734375" customWidth="1"/>
    <col min="10" max="10" width="22.33203125" customWidth="1"/>
    <col min="12" max="12" width="14.88671875" customWidth="1"/>
    <col min="13" max="13" width="14.5546875" customWidth="1"/>
    <col min="14" max="14" width="12.33203125" customWidth="1"/>
    <col min="17" max="17" width="13.6640625" customWidth="1"/>
  </cols>
  <sheetData>
    <row r="1" spans="1:21" x14ac:dyDescent="0.3">
      <c r="A1" t="s">
        <v>101</v>
      </c>
      <c r="B1" t="s">
        <v>101</v>
      </c>
      <c r="C1" t="s">
        <v>99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100</v>
      </c>
      <c r="S1" t="s">
        <v>98</v>
      </c>
      <c r="T1" s="10" t="str">
        <f>PROPER(E2)</f>
        <v>Laptop</v>
      </c>
      <c r="U1" s="10"/>
    </row>
    <row r="2" spans="1:21" x14ac:dyDescent="0.3">
      <c r="A2" s="11">
        <f>DATE(2026,MONTH(DATEVALUE(B2&amp;"-2026")),DAY(DATEVALUE(B2&amp;"-2026")))</f>
        <v>46050</v>
      </c>
      <c r="B2" t="str">
        <f>_xlfn.TEXTBEFORE(D2,"-",2)</f>
        <v>28-JAN</v>
      </c>
      <c r="C2" t="str">
        <f>_xlfn.TEXTAFTER(D2,"-",-1)</f>
        <v>US</v>
      </c>
      <c r="D2" s="14" t="s">
        <v>6</v>
      </c>
      <c r="E2" s="14" t="s">
        <v>40</v>
      </c>
      <c r="F2" s="14" t="s">
        <v>7</v>
      </c>
      <c r="G2" s="15">
        <v>1000</v>
      </c>
      <c r="H2" s="14">
        <v>30</v>
      </c>
      <c r="I2" s="14" t="s">
        <v>8</v>
      </c>
      <c r="J2" s="13" t="str">
        <f>F2&amp;" "&amp;E2</f>
        <v>Dell Laptop</v>
      </c>
      <c r="T2" s="10" t="str">
        <f t="shared" ref="T2:T34" si="0">PROPER(E3)</f>
        <v>Sneakers</v>
      </c>
      <c r="U2" s="10"/>
    </row>
    <row r="3" spans="1:21" x14ac:dyDescent="0.3">
      <c r="A3" s="11">
        <f t="shared" ref="A3:A35" si="1">DATE(2026,MONTH(DATEVALUE(B3&amp;"-2026")),DAY(DATEVALUE(B3&amp;"-2026")))</f>
        <v>46068</v>
      </c>
      <c r="B3" t="str">
        <f t="shared" ref="B3:B35" si="2">_xlfn.TEXTBEFORE(D3,"-",2)</f>
        <v>15-FEB</v>
      </c>
      <c r="C3" t="str">
        <f t="shared" ref="C3:C35" si="3">_xlfn.TEXTAFTER(D3,"-",-1)</f>
        <v>US</v>
      </c>
      <c r="D3" s="16" t="s">
        <v>9</v>
      </c>
      <c r="E3" s="16" t="s">
        <v>10</v>
      </c>
      <c r="F3" s="16" t="s">
        <v>11</v>
      </c>
      <c r="G3" s="17">
        <v>80</v>
      </c>
      <c r="H3" s="16">
        <v>15</v>
      </c>
      <c r="I3" s="16" t="s">
        <v>12</v>
      </c>
      <c r="J3" s="13" t="str">
        <f t="shared" ref="J3:J35" si="4">F3&amp;" "&amp;E3</f>
        <v>Nike Sneakers</v>
      </c>
      <c r="T3" s="10" t="str">
        <f t="shared" si="0"/>
        <v>Coffee Maker</v>
      </c>
      <c r="U3" s="10"/>
    </row>
    <row r="4" spans="1:21" x14ac:dyDescent="0.3">
      <c r="A4" s="11">
        <f t="shared" si="1"/>
        <v>46084</v>
      </c>
      <c r="B4" t="str">
        <f t="shared" si="2"/>
        <v>03-MAR</v>
      </c>
      <c r="C4" t="str">
        <f t="shared" si="3"/>
        <v>US</v>
      </c>
      <c r="D4" s="14" t="s">
        <v>13</v>
      </c>
      <c r="E4" s="14" t="s">
        <v>14</v>
      </c>
      <c r="F4" s="14" t="s">
        <v>15</v>
      </c>
      <c r="G4" s="15">
        <v>130</v>
      </c>
      <c r="H4" s="14">
        <v>40</v>
      </c>
      <c r="I4" s="14" t="s">
        <v>16</v>
      </c>
      <c r="J4" s="13" t="str">
        <f t="shared" si="4"/>
        <v>Keurig Coffee Maker</v>
      </c>
      <c r="K4" t="s">
        <v>96</v>
      </c>
      <c r="L4" s="3" t="s">
        <v>94</v>
      </c>
      <c r="M4" s="3">
        <f>MEDIAN(G2:G35)</f>
        <v>130</v>
      </c>
      <c r="N4" s="3"/>
      <c r="O4" s="3"/>
      <c r="P4" s="3"/>
      <c r="Q4" s="3"/>
      <c r="T4" s="10" t="str">
        <f t="shared" si="0"/>
        <v>Smartphone</v>
      </c>
      <c r="U4" s="10"/>
    </row>
    <row r="5" spans="1:21" x14ac:dyDescent="0.3">
      <c r="A5" s="11">
        <f t="shared" si="1"/>
        <v>46123</v>
      </c>
      <c r="B5" t="str">
        <f t="shared" si="2"/>
        <v>11-APR</v>
      </c>
      <c r="C5" t="str">
        <f t="shared" si="3"/>
        <v>US</v>
      </c>
      <c r="D5" s="16" t="s">
        <v>17</v>
      </c>
      <c r="E5" s="16" t="s">
        <v>74</v>
      </c>
      <c r="F5" s="16" t="s">
        <v>18</v>
      </c>
      <c r="G5" s="17">
        <v>900</v>
      </c>
      <c r="H5" s="16">
        <v>25</v>
      </c>
      <c r="I5" s="16" t="s">
        <v>8</v>
      </c>
      <c r="J5" s="13" t="str">
        <f t="shared" si="4"/>
        <v>Samsung Smartphone</v>
      </c>
      <c r="L5" s="3" t="s">
        <v>95</v>
      </c>
      <c r="M5" s="3"/>
      <c r="N5" s="3"/>
      <c r="O5" s="3"/>
      <c r="P5" s="3"/>
      <c r="Q5" s="3"/>
      <c r="T5" s="10" t="str">
        <f t="shared" si="0"/>
        <v>Backpack</v>
      </c>
      <c r="U5" s="10"/>
    </row>
    <row r="6" spans="1:21" x14ac:dyDescent="0.3">
      <c r="A6" s="11">
        <f t="shared" si="1"/>
        <v>46164</v>
      </c>
      <c r="B6" t="str">
        <f t="shared" si="2"/>
        <v>22-MAY</v>
      </c>
      <c r="C6" t="str">
        <f t="shared" si="3"/>
        <v>US</v>
      </c>
      <c r="D6" s="14" t="s">
        <v>19</v>
      </c>
      <c r="E6" s="14" t="s">
        <v>20</v>
      </c>
      <c r="F6" s="14" t="s">
        <v>21</v>
      </c>
      <c r="G6" s="15">
        <v>70</v>
      </c>
      <c r="H6" s="14">
        <v>20</v>
      </c>
      <c r="I6" s="12" t="s">
        <v>53</v>
      </c>
      <c r="J6" s="13" t="str">
        <f t="shared" si="4"/>
        <v>North Face Backpack</v>
      </c>
      <c r="L6" s="3"/>
      <c r="M6" s="3"/>
      <c r="N6" s="3"/>
      <c r="O6" s="3"/>
      <c r="P6" s="3"/>
      <c r="Q6" s="3"/>
      <c r="T6" s="10" t="str">
        <f t="shared" si="0"/>
        <v>Headphones</v>
      </c>
      <c r="U6" s="10"/>
    </row>
    <row r="7" spans="1:21" x14ac:dyDescent="0.3">
      <c r="A7" s="11">
        <f t="shared" si="1"/>
        <v>46180</v>
      </c>
      <c r="B7" t="str">
        <f t="shared" si="2"/>
        <v>07-JUN</v>
      </c>
      <c r="C7" t="str">
        <f t="shared" si="3"/>
        <v>UK</v>
      </c>
      <c r="D7" s="16" t="s">
        <v>22</v>
      </c>
      <c r="E7" s="16" t="s">
        <v>23</v>
      </c>
      <c r="F7" s="16" t="s">
        <v>24</v>
      </c>
      <c r="G7" s="17">
        <v>130</v>
      </c>
      <c r="H7" s="16">
        <v>45</v>
      </c>
      <c r="I7" s="16" t="s">
        <v>8</v>
      </c>
      <c r="J7" s="13" t="str">
        <f t="shared" si="4"/>
        <v>Sony Headphones</v>
      </c>
      <c r="L7" s="4" t="s">
        <v>0</v>
      </c>
      <c r="M7" s="4" t="s">
        <v>1</v>
      </c>
      <c r="N7" s="4" t="s">
        <v>2</v>
      </c>
      <c r="O7" s="4" t="s">
        <v>3</v>
      </c>
      <c r="P7" s="4" t="s">
        <v>4</v>
      </c>
      <c r="Q7" s="4" t="s">
        <v>5</v>
      </c>
      <c r="T7" s="10" t="str">
        <f t="shared" si="0"/>
        <v>T-Shirt</v>
      </c>
      <c r="U7" s="10"/>
    </row>
    <row r="8" spans="1:21" x14ac:dyDescent="0.3">
      <c r="A8" s="11">
        <f t="shared" si="1"/>
        <v>46222</v>
      </c>
      <c r="B8" t="str">
        <f t="shared" si="2"/>
        <v>19-JUL</v>
      </c>
      <c r="C8" t="str">
        <f t="shared" si="3"/>
        <v>UK</v>
      </c>
      <c r="D8" s="14" t="s">
        <v>26</v>
      </c>
      <c r="E8" s="14" t="s">
        <v>27</v>
      </c>
      <c r="F8" s="14" t="s">
        <v>28</v>
      </c>
      <c r="G8" s="15">
        <v>30</v>
      </c>
      <c r="H8" s="14">
        <v>5</v>
      </c>
      <c r="I8" s="14" t="s">
        <v>12</v>
      </c>
      <c r="J8" s="13" t="str">
        <f t="shared" si="4"/>
        <v>Adidas T-shirt</v>
      </c>
      <c r="L8" s="5" t="s">
        <v>22</v>
      </c>
      <c r="M8" s="5" t="s">
        <v>23</v>
      </c>
      <c r="N8" s="5" t="s">
        <v>24</v>
      </c>
      <c r="O8" s="5">
        <v>130</v>
      </c>
      <c r="P8" s="5">
        <v>45</v>
      </c>
      <c r="Q8" s="5" t="s">
        <v>25</v>
      </c>
      <c r="T8" s="10" t="str">
        <f t="shared" si="0"/>
        <v>Blender</v>
      </c>
      <c r="U8" s="10"/>
    </row>
    <row r="9" spans="1:21" x14ac:dyDescent="0.3">
      <c r="A9" s="11">
        <f t="shared" si="1"/>
        <v>46257</v>
      </c>
      <c r="B9" t="str">
        <f t="shared" si="2"/>
        <v>23-AUG</v>
      </c>
      <c r="C9" t="str">
        <f t="shared" si="3"/>
        <v>UK</v>
      </c>
      <c r="D9" s="16" t="s">
        <v>29</v>
      </c>
      <c r="E9" s="16" t="s">
        <v>30</v>
      </c>
      <c r="F9" s="16" t="s">
        <v>31</v>
      </c>
      <c r="G9" s="17">
        <v>90</v>
      </c>
      <c r="H9" s="16">
        <v>35</v>
      </c>
      <c r="I9" s="16" t="s">
        <v>16</v>
      </c>
      <c r="J9" s="13" t="str">
        <f t="shared" si="4"/>
        <v>Ninja Blender</v>
      </c>
      <c r="L9" s="5" t="s">
        <v>61</v>
      </c>
      <c r="M9" s="5" t="s">
        <v>62</v>
      </c>
      <c r="N9" s="5" t="s">
        <v>63</v>
      </c>
      <c r="O9" s="5">
        <v>130</v>
      </c>
      <c r="P9" s="5">
        <v>10</v>
      </c>
      <c r="Q9" s="5" t="s">
        <v>38</v>
      </c>
      <c r="T9" s="10" t="str">
        <f t="shared" si="0"/>
        <v>Tablet</v>
      </c>
      <c r="U9" s="10"/>
    </row>
    <row r="10" spans="1:21" x14ac:dyDescent="0.3">
      <c r="A10" s="11">
        <f t="shared" si="1"/>
        <v>46270</v>
      </c>
      <c r="B10" t="str">
        <f t="shared" si="2"/>
        <v>05-SEP</v>
      </c>
      <c r="C10" t="str">
        <f t="shared" si="3"/>
        <v>UK</v>
      </c>
      <c r="D10" s="14" t="s">
        <v>32</v>
      </c>
      <c r="E10" s="14" t="s">
        <v>33</v>
      </c>
      <c r="F10" s="14" t="s">
        <v>34</v>
      </c>
      <c r="G10" s="15">
        <v>500</v>
      </c>
      <c r="H10" s="14">
        <v>50</v>
      </c>
      <c r="I10" s="14" t="s">
        <v>8</v>
      </c>
      <c r="J10" s="13" t="str">
        <f t="shared" si="4"/>
        <v>Apple Tablet</v>
      </c>
      <c r="L10" s="5" t="s">
        <v>76</v>
      </c>
      <c r="M10" s="5" t="s">
        <v>59</v>
      </c>
      <c r="N10" s="5" t="s">
        <v>77</v>
      </c>
      <c r="O10" s="5">
        <v>130</v>
      </c>
      <c r="P10" s="5">
        <v>25</v>
      </c>
      <c r="Q10" s="5" t="s">
        <v>12</v>
      </c>
      <c r="T10" s="10" t="str">
        <f t="shared" si="0"/>
        <v>Hiking Boots</v>
      </c>
      <c r="U10" s="10"/>
    </row>
    <row r="11" spans="1:21" x14ac:dyDescent="0.3">
      <c r="A11" s="11">
        <f t="shared" si="1"/>
        <v>46309</v>
      </c>
      <c r="B11" t="str">
        <f t="shared" si="2"/>
        <v>14-OCT</v>
      </c>
      <c r="C11" t="str">
        <f t="shared" si="3"/>
        <v>UK</v>
      </c>
      <c r="D11" s="16" t="s">
        <v>35</v>
      </c>
      <c r="E11" s="16" t="s">
        <v>36</v>
      </c>
      <c r="F11" s="16" t="s">
        <v>37</v>
      </c>
      <c r="G11" s="17">
        <v>130</v>
      </c>
      <c r="H11" s="16">
        <v>10</v>
      </c>
      <c r="I11" s="16" t="s">
        <v>38</v>
      </c>
      <c r="J11" s="13" t="str">
        <f t="shared" si="4"/>
        <v>Timberland Hiking Boots</v>
      </c>
      <c r="T11" s="10" t="str">
        <f t="shared" si="0"/>
        <v>Laptop</v>
      </c>
      <c r="U11" s="10"/>
    </row>
    <row r="12" spans="1:21" x14ac:dyDescent="0.3">
      <c r="A12" s="11">
        <f t="shared" si="1"/>
        <v>46190</v>
      </c>
      <c r="B12" t="str">
        <f t="shared" si="2"/>
        <v>17-JUN</v>
      </c>
      <c r="C12" t="str">
        <f t="shared" si="3"/>
        <v>IN</v>
      </c>
      <c r="D12" s="14" t="s">
        <v>39</v>
      </c>
      <c r="E12" s="14" t="s">
        <v>40</v>
      </c>
      <c r="F12" s="14" t="s">
        <v>41</v>
      </c>
      <c r="G12" s="15">
        <v>950</v>
      </c>
      <c r="H12" s="14">
        <v>25</v>
      </c>
      <c r="I12" s="14" t="s">
        <v>8</v>
      </c>
      <c r="J12" s="13" t="str">
        <f t="shared" si="4"/>
        <v>HP Laptop</v>
      </c>
      <c r="K12" t="s">
        <v>97</v>
      </c>
      <c r="L12" s="6" t="s">
        <v>0</v>
      </c>
      <c r="M12" s="6" t="s">
        <v>1</v>
      </c>
      <c r="N12" s="6" t="s">
        <v>2</v>
      </c>
      <c r="O12" s="6" t="s">
        <v>3</v>
      </c>
      <c r="P12" s="6" t="s">
        <v>4</v>
      </c>
      <c r="Q12" s="6" t="s">
        <v>5</v>
      </c>
      <c r="T12" s="10" t="str">
        <f t="shared" si="0"/>
        <v>Sneakers</v>
      </c>
      <c r="U12" s="10"/>
    </row>
    <row r="13" spans="1:21" x14ac:dyDescent="0.3">
      <c r="A13" s="11">
        <f t="shared" si="1"/>
        <v>46351</v>
      </c>
      <c r="B13" t="str">
        <f t="shared" si="2"/>
        <v>25-NOV</v>
      </c>
      <c r="C13" t="str">
        <f t="shared" si="3"/>
        <v>AU</v>
      </c>
      <c r="D13" s="16" t="s">
        <v>42</v>
      </c>
      <c r="E13" s="16" t="s">
        <v>10</v>
      </c>
      <c r="F13" s="16" t="s">
        <v>28</v>
      </c>
      <c r="G13" s="17">
        <v>90</v>
      </c>
      <c r="H13" s="16">
        <v>40</v>
      </c>
      <c r="I13" s="13" t="s">
        <v>12</v>
      </c>
      <c r="J13" s="13" t="str">
        <f t="shared" si="4"/>
        <v>Adidas Sneakers</v>
      </c>
      <c r="L13" s="7" t="s">
        <v>19</v>
      </c>
      <c r="M13" s="7" t="s">
        <v>20</v>
      </c>
      <c r="N13" s="7" t="s">
        <v>21</v>
      </c>
      <c r="O13" s="7">
        <v>70</v>
      </c>
      <c r="P13" s="7">
        <v>20</v>
      </c>
      <c r="Q13" s="8" t="s">
        <v>53</v>
      </c>
      <c r="T13" s="10" t="str">
        <f t="shared" si="0"/>
        <v>Coffee Maker</v>
      </c>
      <c r="U13" s="10"/>
    </row>
    <row r="14" spans="1:21" x14ac:dyDescent="0.3">
      <c r="A14" s="11">
        <f t="shared" si="1"/>
        <v>46364</v>
      </c>
      <c r="B14" t="str">
        <f t="shared" si="2"/>
        <v>08-DEC</v>
      </c>
      <c r="C14" t="str">
        <f t="shared" si="3"/>
        <v>DE</v>
      </c>
      <c r="D14" s="14" t="s">
        <v>43</v>
      </c>
      <c r="E14" s="14" t="s">
        <v>14</v>
      </c>
      <c r="F14" s="14" t="s">
        <v>44</v>
      </c>
      <c r="G14" s="15">
        <v>120</v>
      </c>
      <c r="H14" s="14">
        <v>35</v>
      </c>
      <c r="I14" s="13" t="s">
        <v>12</v>
      </c>
      <c r="J14" s="13" t="str">
        <f t="shared" si="4"/>
        <v>Nespresso Coffee Maker</v>
      </c>
      <c r="L14" s="9" t="s">
        <v>42</v>
      </c>
      <c r="M14" s="9" t="s">
        <v>10</v>
      </c>
      <c r="N14" s="9" t="s">
        <v>28</v>
      </c>
      <c r="O14" s="9">
        <v>90</v>
      </c>
      <c r="P14" s="9">
        <v>40</v>
      </c>
      <c r="Q14" s="8" t="s">
        <v>12</v>
      </c>
      <c r="T14" s="10" t="str">
        <f t="shared" si="0"/>
        <v>Smartwatch</v>
      </c>
      <c r="U14" s="10"/>
    </row>
    <row r="15" spans="1:21" x14ac:dyDescent="0.3">
      <c r="A15" s="11">
        <f t="shared" si="1"/>
        <v>46071</v>
      </c>
      <c r="B15" t="str">
        <f t="shared" si="2"/>
        <v>18-FEB</v>
      </c>
      <c r="C15" t="str">
        <f t="shared" si="3"/>
        <v>CA</v>
      </c>
      <c r="D15" s="16" t="s">
        <v>45</v>
      </c>
      <c r="E15" s="16" t="s">
        <v>46</v>
      </c>
      <c r="F15" s="16" t="s">
        <v>47</v>
      </c>
      <c r="G15" s="17">
        <v>150</v>
      </c>
      <c r="H15" s="16">
        <v>15</v>
      </c>
      <c r="I15" s="16" t="s">
        <v>8</v>
      </c>
      <c r="J15" s="13" t="str">
        <f t="shared" si="4"/>
        <v>Fitbit Smartwatch</v>
      </c>
      <c r="L15" s="7" t="s">
        <v>43</v>
      </c>
      <c r="M15" s="7" t="s">
        <v>14</v>
      </c>
      <c r="N15" s="7" t="s">
        <v>44</v>
      </c>
      <c r="O15" s="7">
        <v>120</v>
      </c>
      <c r="P15" s="7">
        <v>35</v>
      </c>
      <c r="Q15" s="8" t="s">
        <v>16</v>
      </c>
      <c r="T15" s="10" t="str">
        <f t="shared" si="0"/>
        <v>Headphones</v>
      </c>
      <c r="U15" s="10"/>
    </row>
    <row r="16" spans="1:21" x14ac:dyDescent="0.3">
      <c r="A16" s="11">
        <f t="shared" si="1"/>
        <v>46128</v>
      </c>
      <c r="B16" t="str">
        <f t="shared" si="2"/>
        <v>16-APR</v>
      </c>
      <c r="C16" t="str">
        <f t="shared" si="3"/>
        <v>ES</v>
      </c>
      <c r="D16" s="14" t="s">
        <v>48</v>
      </c>
      <c r="E16" s="14" t="s">
        <v>23</v>
      </c>
      <c r="F16" s="14" t="s">
        <v>49</v>
      </c>
      <c r="G16" s="15">
        <v>250</v>
      </c>
      <c r="H16" s="14">
        <v>20</v>
      </c>
      <c r="I16" s="14" t="s">
        <v>8</v>
      </c>
      <c r="J16" s="13" t="str">
        <f t="shared" si="4"/>
        <v>Bose Headphones</v>
      </c>
      <c r="L16" s="7" t="s">
        <v>70</v>
      </c>
      <c r="M16" s="7" t="s">
        <v>71</v>
      </c>
      <c r="N16" s="7" t="s">
        <v>72</v>
      </c>
      <c r="O16" s="7">
        <v>150</v>
      </c>
      <c r="P16" s="7">
        <v>30</v>
      </c>
      <c r="Q16" s="8" t="s">
        <v>8</v>
      </c>
      <c r="T16" s="10" t="str">
        <f t="shared" si="0"/>
        <v>Laptop Bag</v>
      </c>
      <c r="U16" s="10"/>
    </row>
    <row r="17" spans="1:21" x14ac:dyDescent="0.3">
      <c r="A17" s="11">
        <f t="shared" si="1"/>
        <v>46255</v>
      </c>
      <c r="B17" t="str">
        <f t="shared" si="2"/>
        <v>21-AUG</v>
      </c>
      <c r="C17" t="str">
        <f t="shared" si="3"/>
        <v>CA</v>
      </c>
      <c r="D17" s="16" t="s">
        <v>50</v>
      </c>
      <c r="E17" s="16" t="s">
        <v>51</v>
      </c>
      <c r="F17" s="16" t="s">
        <v>52</v>
      </c>
      <c r="G17" s="17">
        <v>50</v>
      </c>
      <c r="H17" s="16">
        <v>35</v>
      </c>
      <c r="I17" s="16" t="s">
        <v>53</v>
      </c>
      <c r="J17" s="13" t="str">
        <f t="shared" si="4"/>
        <v>Samsonite Laptop Bag</v>
      </c>
      <c r="T17" s="10" t="str">
        <f t="shared" si="0"/>
        <v>Smartwatch</v>
      </c>
      <c r="U17" s="10"/>
    </row>
    <row r="18" spans="1:21" x14ac:dyDescent="0.3">
      <c r="A18" s="11">
        <f t="shared" si="1"/>
        <v>46254</v>
      </c>
      <c r="B18" t="str">
        <f t="shared" si="2"/>
        <v>20-AUG</v>
      </c>
      <c r="C18" t="str">
        <f t="shared" si="3"/>
        <v>CN</v>
      </c>
      <c r="D18" s="14" t="s">
        <v>54</v>
      </c>
      <c r="E18" s="14" t="s">
        <v>46</v>
      </c>
      <c r="F18" s="14" t="s">
        <v>55</v>
      </c>
      <c r="G18" s="15">
        <v>160</v>
      </c>
      <c r="H18" s="14">
        <v>15</v>
      </c>
      <c r="I18" s="14" t="s">
        <v>8</v>
      </c>
      <c r="J18" s="13" t="str">
        <f t="shared" si="4"/>
        <v>Huawei Smartwatch</v>
      </c>
      <c r="T18" s="10" t="str">
        <f t="shared" si="0"/>
        <v>Laptop</v>
      </c>
      <c r="U18" s="10"/>
    </row>
    <row r="19" spans="1:21" x14ac:dyDescent="0.3">
      <c r="A19" s="11">
        <f t="shared" si="1"/>
        <v>46049</v>
      </c>
      <c r="B19" t="str">
        <f t="shared" si="2"/>
        <v>27-JAN</v>
      </c>
      <c r="C19" t="str">
        <f t="shared" si="3"/>
        <v>IT</v>
      </c>
      <c r="D19" s="16" t="s">
        <v>56</v>
      </c>
      <c r="E19" s="16" t="s">
        <v>40</v>
      </c>
      <c r="F19" s="16" t="s">
        <v>57</v>
      </c>
      <c r="G19" s="17">
        <v>980</v>
      </c>
      <c r="H19" s="16">
        <v>10</v>
      </c>
      <c r="I19" s="16" t="s">
        <v>8</v>
      </c>
      <c r="J19" s="13" t="str">
        <f t="shared" si="4"/>
        <v>Asus Laptop</v>
      </c>
      <c r="L19" s="11"/>
      <c r="T19" s="10" t="str">
        <f t="shared" si="0"/>
        <v>Sunglasses</v>
      </c>
      <c r="U19" s="10"/>
    </row>
    <row r="20" spans="1:21" x14ac:dyDescent="0.3">
      <c r="A20" s="11">
        <f t="shared" si="1"/>
        <v>46082</v>
      </c>
      <c r="B20" t="str">
        <f t="shared" si="2"/>
        <v>01-MAR</v>
      </c>
      <c r="C20" t="str">
        <f t="shared" si="3"/>
        <v>UK</v>
      </c>
      <c r="D20" s="14" t="s">
        <v>58</v>
      </c>
      <c r="E20" s="14" t="s">
        <v>59</v>
      </c>
      <c r="F20" s="14" t="s">
        <v>60</v>
      </c>
      <c r="G20" s="15">
        <v>150</v>
      </c>
      <c r="H20" s="14">
        <v>15</v>
      </c>
      <c r="I20" s="14" t="s">
        <v>12</v>
      </c>
      <c r="J20" s="13" t="str">
        <f t="shared" si="4"/>
        <v>Oakley Sunglasses</v>
      </c>
      <c r="T20" s="10" t="str">
        <f t="shared" si="0"/>
        <v>Camping Tent</v>
      </c>
      <c r="U20" s="10"/>
    </row>
    <row r="21" spans="1:21" x14ac:dyDescent="0.3">
      <c r="A21" s="11">
        <f t="shared" si="1"/>
        <v>46248</v>
      </c>
      <c r="B21" t="str">
        <f t="shared" si="2"/>
        <v>14-AUG</v>
      </c>
      <c r="C21" t="str">
        <f t="shared" si="3"/>
        <v>US</v>
      </c>
      <c r="D21" s="16" t="s">
        <v>61</v>
      </c>
      <c r="E21" s="16" t="s">
        <v>62</v>
      </c>
      <c r="F21" s="16" t="s">
        <v>63</v>
      </c>
      <c r="G21" s="17">
        <v>130</v>
      </c>
      <c r="H21" s="16">
        <v>10</v>
      </c>
      <c r="I21" s="16" t="s">
        <v>38</v>
      </c>
      <c r="J21" s="13" t="str">
        <f t="shared" si="4"/>
        <v>Coleman Camping Tent</v>
      </c>
      <c r="T21" s="10" t="str">
        <f t="shared" si="0"/>
        <v>Camera</v>
      </c>
      <c r="U21" s="10"/>
    </row>
    <row r="22" spans="1:21" x14ac:dyDescent="0.3">
      <c r="A22" s="11">
        <f t="shared" si="1"/>
        <v>46156</v>
      </c>
      <c r="B22" t="str">
        <f t="shared" si="2"/>
        <v>14-MAY</v>
      </c>
      <c r="C22" t="str">
        <f t="shared" si="3"/>
        <v>RU</v>
      </c>
      <c r="D22" s="14" t="s">
        <v>64</v>
      </c>
      <c r="E22" s="14" t="s">
        <v>65</v>
      </c>
      <c r="F22" s="14" t="s">
        <v>66</v>
      </c>
      <c r="G22" s="15">
        <v>700</v>
      </c>
      <c r="H22" s="14">
        <v>50</v>
      </c>
      <c r="I22" s="14" t="s">
        <v>8</v>
      </c>
      <c r="J22" s="13" t="str">
        <f t="shared" si="4"/>
        <v>Nikon Camera</v>
      </c>
      <c r="T22" s="10" t="str">
        <f t="shared" si="0"/>
        <v>Microwave</v>
      </c>
      <c r="U22" s="10"/>
    </row>
    <row r="23" spans="1:21" x14ac:dyDescent="0.3">
      <c r="A23" s="11">
        <f t="shared" si="1"/>
        <v>46031</v>
      </c>
      <c r="B23" t="str">
        <f t="shared" si="2"/>
        <v>09-JAN</v>
      </c>
      <c r="C23" t="str">
        <f t="shared" si="3"/>
        <v>CA</v>
      </c>
      <c r="D23" s="16" t="s">
        <v>67</v>
      </c>
      <c r="E23" s="16" t="s">
        <v>68</v>
      </c>
      <c r="F23" s="16" t="s">
        <v>69</v>
      </c>
      <c r="G23" s="17">
        <v>80</v>
      </c>
      <c r="H23" s="16">
        <v>20</v>
      </c>
      <c r="I23" s="16" t="s">
        <v>16</v>
      </c>
      <c r="J23" s="13" t="str">
        <f t="shared" si="4"/>
        <v>Panasonic Microwave</v>
      </c>
      <c r="T23" s="10" t="str">
        <f t="shared" si="0"/>
        <v>Fitness Tracker</v>
      </c>
      <c r="U23" s="10"/>
    </row>
    <row r="24" spans="1:21" x14ac:dyDescent="0.3">
      <c r="A24" s="11">
        <f t="shared" si="1"/>
        <v>46222</v>
      </c>
      <c r="B24" t="str">
        <f t="shared" si="2"/>
        <v>19-JUL</v>
      </c>
      <c r="C24" t="str">
        <f t="shared" si="3"/>
        <v>BR</v>
      </c>
      <c r="D24" s="14" t="s">
        <v>70</v>
      </c>
      <c r="E24" s="14" t="s">
        <v>71</v>
      </c>
      <c r="F24" s="14" t="s">
        <v>72</v>
      </c>
      <c r="G24" s="15">
        <v>150</v>
      </c>
      <c r="H24" s="14">
        <v>30</v>
      </c>
      <c r="I24" s="13" t="s">
        <v>8</v>
      </c>
      <c r="J24" s="13" t="str">
        <f t="shared" si="4"/>
        <v>Xiaomi Fitness Tracker</v>
      </c>
      <c r="T24" s="10" t="str">
        <f t="shared" si="0"/>
        <v>Laptop Bag</v>
      </c>
      <c r="U24" s="10"/>
    </row>
    <row r="25" spans="1:21" x14ac:dyDescent="0.3">
      <c r="A25" s="11">
        <f t="shared" si="1"/>
        <v>46255</v>
      </c>
      <c r="B25" t="str">
        <f t="shared" si="2"/>
        <v>21-AUG</v>
      </c>
      <c r="C25" t="str">
        <f t="shared" si="3"/>
        <v>CA</v>
      </c>
      <c r="D25" s="16" t="s">
        <v>50</v>
      </c>
      <c r="E25" s="16" t="s">
        <v>51</v>
      </c>
      <c r="F25" s="16" t="s">
        <v>52</v>
      </c>
      <c r="G25" s="17">
        <v>50</v>
      </c>
      <c r="H25" s="16">
        <v>35</v>
      </c>
      <c r="I25" s="16" t="s">
        <v>53</v>
      </c>
      <c r="J25" s="13" t="str">
        <f t="shared" si="4"/>
        <v>Samsonite Laptop Bag</v>
      </c>
      <c r="T25" s="10" t="str">
        <f t="shared" si="0"/>
        <v>Smartphone</v>
      </c>
      <c r="U25" s="10"/>
    </row>
    <row r="26" spans="1:21" x14ac:dyDescent="0.3">
      <c r="A26" s="11">
        <f t="shared" si="1"/>
        <v>46294</v>
      </c>
      <c r="B26" t="str">
        <f t="shared" si="2"/>
        <v>29-SEP</v>
      </c>
      <c r="C26" t="str">
        <f t="shared" si="3"/>
        <v>CA</v>
      </c>
      <c r="D26" s="14" t="s">
        <v>73</v>
      </c>
      <c r="E26" s="14" t="s">
        <v>74</v>
      </c>
      <c r="F26" s="14" t="s">
        <v>75</v>
      </c>
      <c r="G26" s="15">
        <v>800</v>
      </c>
      <c r="H26" s="14">
        <v>45</v>
      </c>
      <c r="I26" s="14" t="s">
        <v>8</v>
      </c>
      <c r="J26" s="13" t="str">
        <f t="shared" si="4"/>
        <v>Google Smartphone</v>
      </c>
      <c r="T26" s="10" t="str">
        <f t="shared" si="0"/>
        <v>Sunglasses</v>
      </c>
      <c r="U26" s="10"/>
    </row>
    <row r="27" spans="1:21" x14ac:dyDescent="0.3">
      <c r="A27" s="11">
        <f t="shared" si="1"/>
        <v>46176</v>
      </c>
      <c r="B27" t="str">
        <f t="shared" si="2"/>
        <v>03-JUN</v>
      </c>
      <c r="C27" t="str">
        <f t="shared" si="3"/>
        <v>CA</v>
      </c>
      <c r="D27" s="16" t="s">
        <v>76</v>
      </c>
      <c r="E27" s="16" t="s">
        <v>59</v>
      </c>
      <c r="F27" s="16" t="s">
        <v>77</v>
      </c>
      <c r="G27" s="17">
        <v>130</v>
      </c>
      <c r="H27" s="16">
        <v>25</v>
      </c>
      <c r="I27" s="16" t="s">
        <v>12</v>
      </c>
      <c r="J27" s="13" t="str">
        <f t="shared" si="4"/>
        <v>Ray-Ban Sunglasses</v>
      </c>
      <c r="T27" s="10" t="str">
        <f t="shared" si="0"/>
        <v>Blender</v>
      </c>
      <c r="U27" s="10"/>
    </row>
    <row r="28" spans="1:21" x14ac:dyDescent="0.3">
      <c r="A28" s="11">
        <f t="shared" si="1"/>
        <v>46214</v>
      </c>
      <c r="B28" t="str">
        <f t="shared" si="2"/>
        <v>11-JUL</v>
      </c>
      <c r="C28" t="str">
        <f t="shared" si="3"/>
        <v>CA</v>
      </c>
      <c r="D28" s="14" t="s">
        <v>78</v>
      </c>
      <c r="E28" s="14" t="s">
        <v>30</v>
      </c>
      <c r="F28" s="14" t="s">
        <v>79</v>
      </c>
      <c r="G28" s="15">
        <v>400</v>
      </c>
      <c r="H28" s="14">
        <v>40</v>
      </c>
      <c r="I28" s="14" t="s">
        <v>16</v>
      </c>
      <c r="J28" s="13" t="str">
        <f t="shared" si="4"/>
        <v>Vitamix Blender</v>
      </c>
      <c r="T28" s="10" t="str">
        <f t="shared" si="0"/>
        <v>Headphones</v>
      </c>
      <c r="U28" s="10"/>
    </row>
    <row r="29" spans="1:21" x14ac:dyDescent="0.3">
      <c r="A29" s="11">
        <f t="shared" si="1"/>
        <v>46128</v>
      </c>
      <c r="B29" t="str">
        <f t="shared" si="2"/>
        <v>16-APR</v>
      </c>
      <c r="C29" t="str">
        <f t="shared" si="3"/>
        <v>ES</v>
      </c>
      <c r="D29" s="16" t="s">
        <v>48</v>
      </c>
      <c r="E29" s="16" t="s">
        <v>23</v>
      </c>
      <c r="F29" s="16" t="s">
        <v>49</v>
      </c>
      <c r="G29" s="17">
        <v>250</v>
      </c>
      <c r="H29" s="16">
        <v>20</v>
      </c>
      <c r="I29" s="16" t="s">
        <v>8</v>
      </c>
      <c r="J29" s="13" t="str">
        <f t="shared" si="4"/>
        <v>Bose Headphones</v>
      </c>
      <c r="T29" s="10" t="str">
        <f t="shared" si="0"/>
        <v>Dress</v>
      </c>
      <c r="U29" s="10"/>
    </row>
    <row r="30" spans="1:21" x14ac:dyDescent="0.3">
      <c r="A30" s="11">
        <f t="shared" si="1"/>
        <v>46088</v>
      </c>
      <c r="B30" t="str">
        <f t="shared" si="2"/>
        <v>07-MAR</v>
      </c>
      <c r="C30" t="str">
        <f t="shared" si="3"/>
        <v>CA</v>
      </c>
      <c r="D30" s="14" t="s">
        <v>80</v>
      </c>
      <c r="E30" s="14" t="s">
        <v>81</v>
      </c>
      <c r="F30" s="14" t="s">
        <v>82</v>
      </c>
      <c r="G30" s="15">
        <v>60</v>
      </c>
      <c r="H30" s="14">
        <v>30</v>
      </c>
      <c r="I30" s="14" t="s">
        <v>12</v>
      </c>
      <c r="J30" s="13" t="str">
        <f t="shared" si="4"/>
        <v>Zara Dress</v>
      </c>
      <c r="T30" s="10" t="str">
        <f t="shared" si="0"/>
        <v>Toaster</v>
      </c>
      <c r="U30" s="10"/>
    </row>
    <row r="31" spans="1:21" x14ac:dyDescent="0.3">
      <c r="A31" s="11">
        <f t="shared" si="1"/>
        <v>46125</v>
      </c>
      <c r="B31" t="str">
        <f t="shared" si="2"/>
        <v>13-APR</v>
      </c>
      <c r="C31" t="str">
        <f t="shared" si="3"/>
        <v>CA</v>
      </c>
      <c r="D31" s="16" t="s">
        <v>83</v>
      </c>
      <c r="E31" s="16" t="s">
        <v>84</v>
      </c>
      <c r="F31" s="16" t="s">
        <v>85</v>
      </c>
      <c r="G31" s="17">
        <v>40</v>
      </c>
      <c r="H31" s="16">
        <v>10</v>
      </c>
      <c r="I31" s="16" t="s">
        <v>16</v>
      </c>
      <c r="J31" s="13" t="str">
        <f t="shared" si="4"/>
        <v>Hamilton Toaster</v>
      </c>
      <c r="T31" s="10" t="str">
        <f t="shared" si="0"/>
        <v>Fitness Tracker</v>
      </c>
      <c r="U31" s="10"/>
    </row>
    <row r="32" spans="1:21" x14ac:dyDescent="0.3">
      <c r="A32" s="11">
        <f t="shared" si="1"/>
        <v>46166</v>
      </c>
      <c r="B32" t="str">
        <f t="shared" si="2"/>
        <v>24-MAY</v>
      </c>
      <c r="C32" t="str">
        <f t="shared" si="3"/>
        <v>CA</v>
      </c>
      <c r="D32" s="14" t="s">
        <v>86</v>
      </c>
      <c r="E32" s="14" t="s">
        <v>71</v>
      </c>
      <c r="F32" s="14" t="s">
        <v>87</v>
      </c>
      <c r="G32" s="15">
        <v>130</v>
      </c>
      <c r="H32" s="14">
        <v>5</v>
      </c>
      <c r="I32" s="14" t="s">
        <v>8</v>
      </c>
      <c r="J32" s="13" t="str">
        <f t="shared" si="4"/>
        <v>Garmin Fitness Tracker</v>
      </c>
      <c r="T32" s="10" t="str">
        <f t="shared" si="0"/>
        <v>Jeans</v>
      </c>
      <c r="U32" s="10"/>
    </row>
    <row r="33" spans="1:21" x14ac:dyDescent="0.3">
      <c r="A33" s="11">
        <f t="shared" si="1"/>
        <v>46358</v>
      </c>
      <c r="B33" t="str">
        <f t="shared" si="2"/>
        <v>02-DEC</v>
      </c>
      <c r="C33" t="str">
        <f t="shared" si="3"/>
        <v>CA</v>
      </c>
      <c r="D33" s="16" t="s">
        <v>88</v>
      </c>
      <c r="E33" s="16" t="s">
        <v>89</v>
      </c>
      <c r="F33" s="16" t="s">
        <v>90</v>
      </c>
      <c r="G33" s="17">
        <v>50</v>
      </c>
      <c r="H33" s="16">
        <v>50</v>
      </c>
      <c r="I33" s="16" t="s">
        <v>12</v>
      </c>
      <c r="J33" s="13" t="str">
        <f t="shared" si="4"/>
        <v>Levi's Jeans</v>
      </c>
      <c r="T33" s="10" t="str">
        <f t="shared" si="0"/>
        <v>Laptop</v>
      </c>
      <c r="U33" s="10"/>
    </row>
    <row r="34" spans="1:21" x14ac:dyDescent="0.3">
      <c r="A34" s="11">
        <f t="shared" si="1"/>
        <v>46190</v>
      </c>
      <c r="B34" t="str">
        <f t="shared" si="2"/>
        <v>17-JUN</v>
      </c>
      <c r="C34" t="str">
        <f t="shared" si="3"/>
        <v>IN</v>
      </c>
      <c r="D34" s="14" t="s">
        <v>39</v>
      </c>
      <c r="E34" s="14" t="s">
        <v>40</v>
      </c>
      <c r="F34" s="14" t="s">
        <v>41</v>
      </c>
      <c r="G34" s="15">
        <v>950</v>
      </c>
      <c r="H34" s="14">
        <v>25</v>
      </c>
      <c r="I34" s="14" t="s">
        <v>8</v>
      </c>
      <c r="J34" s="13" t="str">
        <f t="shared" si="4"/>
        <v>HP Laptop</v>
      </c>
      <c r="T34" s="10" t="str">
        <f t="shared" si="0"/>
        <v>Watch</v>
      </c>
      <c r="U34" s="10"/>
    </row>
    <row r="35" spans="1:21" x14ac:dyDescent="0.3">
      <c r="A35" s="11">
        <f t="shared" si="1"/>
        <v>46212</v>
      </c>
      <c r="B35" t="str">
        <f t="shared" si="2"/>
        <v>09-JUL</v>
      </c>
      <c r="C35" t="str">
        <f t="shared" si="3"/>
        <v>FR</v>
      </c>
      <c r="D35" s="16" t="s">
        <v>91</v>
      </c>
      <c r="E35" s="16" t="s">
        <v>92</v>
      </c>
      <c r="F35" s="16" t="s">
        <v>93</v>
      </c>
      <c r="G35" s="17">
        <v>100</v>
      </c>
      <c r="H35" s="16">
        <v>20</v>
      </c>
      <c r="I35" s="16" t="s">
        <v>53</v>
      </c>
      <c r="J35" s="13" t="str">
        <f t="shared" si="4"/>
        <v>Casio Watch</v>
      </c>
    </row>
    <row r="36" spans="1:21" x14ac:dyDescent="0.3">
      <c r="L36" s="1"/>
      <c r="M36" s="1"/>
      <c r="N36" s="1"/>
      <c r="O36" s="1"/>
      <c r="P36" s="1"/>
      <c r="Q36" s="1"/>
    </row>
    <row r="37" spans="1:21" x14ac:dyDescent="0.3">
      <c r="L37" s="2"/>
      <c r="M37" s="2"/>
      <c r="N37" s="2"/>
      <c r="O37" s="2"/>
      <c r="P37" s="2"/>
      <c r="Q37" s="2"/>
    </row>
    <row r="38" spans="1:21" x14ac:dyDescent="0.3">
      <c r="L38" s="2"/>
      <c r="M38" s="2"/>
      <c r="N38" s="2"/>
      <c r="O38" s="2"/>
      <c r="P38" s="2"/>
      <c r="Q38" s="2"/>
    </row>
    <row r="39" spans="1:21" x14ac:dyDescent="0.3">
      <c r="L39" s="2"/>
      <c r="M39" s="2"/>
      <c r="N39" s="2"/>
      <c r="O39" s="2"/>
      <c r="P39" s="2"/>
      <c r="Q39" s="2"/>
    </row>
  </sheetData>
  <autoFilter ref="D1:I35" xr:uid="{12888F53-34C5-4FBA-9A0F-D63FC2CAE54F}"/>
  <conditionalFormatting sqref="G2:G3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{A1373BAE-0406-43DE-B9B7-91A927841CCA}</x14:id>
        </ext>
      </extLst>
    </cfRule>
  </conditionalFormatting>
  <conditionalFormatting sqref="I2:I35">
    <cfRule type="expression" dxfId="3" priority="2">
      <formula>F2="Electronics"</formula>
    </cfRule>
    <cfRule type="expression" dxfId="2" priority="1">
      <formula>I2="Electronics"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373BAE-0406-43DE-B9B7-91A927841C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sidharthrajesh578@gmail.com</dc:creator>
  <cp:lastModifiedBy>sidharthrajesh578@gmail.com</cp:lastModifiedBy>
  <dcterms:created xsi:type="dcterms:W3CDTF">2026-09-22T13:55:06Z</dcterms:created>
  <dcterms:modified xsi:type="dcterms:W3CDTF">2026-09-23T11:29:24Z</dcterms:modified>
</cp:coreProperties>
</file>